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nes\iCloudDrive\Fall 2024\ME 518\Final Project\"/>
    </mc:Choice>
  </mc:AlternateContent>
  <xr:revisionPtr revIDLastSave="0" documentId="13_ncr:1_{DB006D20-CE02-4E1E-8461-0D0C850DC2C8}" xr6:coauthVersionLast="47" xr6:coauthVersionMax="47" xr10:uidLastSave="{00000000-0000-0000-0000-000000000000}"/>
  <bookViews>
    <workbookView xWindow="-105" yWindow="0" windowWidth="194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1" l="1"/>
  <c r="G113" i="1"/>
  <c r="G114" i="1"/>
  <c r="G115" i="1"/>
  <c r="G116" i="1"/>
  <c r="G117" i="1"/>
  <c r="G118" i="1"/>
  <c r="G119" i="1"/>
  <c r="G120" i="1"/>
  <c r="G121" i="1"/>
  <c r="J69" i="1"/>
  <c r="H70" i="1"/>
  <c r="B59" i="1"/>
  <c r="B60" i="1" s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I47" i="1"/>
  <c r="J47" i="1" s="1"/>
  <c r="I46" i="1"/>
  <c r="K46" i="1" s="1"/>
  <c r="I45" i="1"/>
  <c r="I44" i="1"/>
  <c r="I43" i="1"/>
  <c r="I42" i="1"/>
  <c r="H47" i="1"/>
  <c r="K47" i="1" s="1"/>
  <c r="G55" i="1"/>
  <c r="J55" i="1" s="1"/>
  <c r="L33" i="1"/>
  <c r="M33" i="1" s="1"/>
  <c r="Q33" i="1" s="1"/>
  <c r="H54" i="1" s="1"/>
  <c r="K54" i="1" s="1"/>
  <c r="L32" i="1"/>
  <c r="M32" i="1" s="1"/>
  <c r="Q32" i="1" s="1"/>
  <c r="H53" i="1" s="1"/>
  <c r="K53" i="1" s="1"/>
  <c r="M36" i="1"/>
  <c r="Q36" i="1" s="1"/>
  <c r="H57" i="1" s="1"/>
  <c r="K57" i="1" s="1"/>
  <c r="L34" i="1"/>
  <c r="M34" i="1" s="1"/>
  <c r="Q34" i="1" s="1"/>
  <c r="H55" i="1" s="1"/>
  <c r="K55" i="1" s="1"/>
  <c r="L35" i="1"/>
  <c r="M35" i="1" s="1"/>
  <c r="Q35" i="1" s="1"/>
  <c r="H56" i="1" s="1"/>
  <c r="K56" i="1" s="1"/>
  <c r="L36" i="1"/>
  <c r="L37" i="1"/>
  <c r="M37" i="1" s="1"/>
  <c r="Q37" i="1" s="1"/>
  <c r="H58" i="1" s="1"/>
  <c r="K58" i="1" s="1"/>
  <c r="L31" i="1"/>
  <c r="M31" i="1" s="1"/>
  <c r="Q31" i="1" s="1"/>
  <c r="H52" i="1" s="1"/>
  <c r="K52" i="1" s="1"/>
  <c r="L28" i="1"/>
  <c r="M28" i="1" s="1"/>
  <c r="Q28" i="1" s="1"/>
  <c r="H49" i="1" s="1"/>
  <c r="K49" i="1" s="1"/>
  <c r="L29" i="1"/>
  <c r="M29" i="1" s="1"/>
  <c r="Q29" i="1" s="1"/>
  <c r="H50" i="1" s="1"/>
  <c r="K50" i="1" s="1"/>
  <c r="L30" i="1"/>
  <c r="M30" i="1" s="1"/>
  <c r="Q30" i="1" s="1"/>
  <c r="H51" i="1" s="1"/>
  <c r="K51" i="1" s="1"/>
  <c r="L27" i="1"/>
  <c r="M27" i="1" s="1"/>
  <c r="Q27" i="1" s="1"/>
  <c r="H48" i="1" s="1"/>
  <c r="K48" i="1" s="1"/>
  <c r="J28" i="1"/>
  <c r="G49" i="1" s="1"/>
  <c r="J49" i="1" s="1"/>
  <c r="J29" i="1"/>
  <c r="G50" i="1" s="1"/>
  <c r="J50" i="1" s="1"/>
  <c r="J30" i="1"/>
  <c r="G51" i="1" s="1"/>
  <c r="J51" i="1" s="1"/>
  <c r="J31" i="1"/>
  <c r="G52" i="1" s="1"/>
  <c r="J52" i="1" s="1"/>
  <c r="J32" i="1"/>
  <c r="G53" i="1" s="1"/>
  <c r="J53" i="1" s="1"/>
  <c r="J33" i="1"/>
  <c r="G54" i="1" s="1"/>
  <c r="J54" i="1" s="1"/>
  <c r="J34" i="1"/>
  <c r="J35" i="1"/>
  <c r="G56" i="1" s="1"/>
  <c r="J56" i="1" s="1"/>
  <c r="J36" i="1"/>
  <c r="G57" i="1" s="1"/>
  <c r="J57" i="1" s="1"/>
  <c r="J37" i="1"/>
  <c r="G58" i="1" s="1"/>
  <c r="J58" i="1" s="1"/>
  <c r="J27" i="1"/>
  <c r="G48" i="1" s="1"/>
  <c r="J48" i="1" s="1"/>
  <c r="M18" i="1"/>
  <c r="H43" i="1" s="1"/>
  <c r="K43" i="1" s="1"/>
  <c r="M19" i="1"/>
  <c r="H44" i="1" s="1"/>
  <c r="K44" i="1" s="1"/>
  <c r="M20" i="1"/>
  <c r="H45" i="1" s="1"/>
  <c r="K45" i="1" s="1"/>
  <c r="M17" i="1"/>
  <c r="H42" i="1" s="1"/>
  <c r="K42" i="1" s="1"/>
  <c r="H21" i="1"/>
  <c r="G46" i="1" s="1"/>
  <c r="J46" i="1" s="1"/>
  <c r="H20" i="1"/>
  <c r="G45" i="1" s="1"/>
  <c r="J45" i="1" s="1"/>
  <c r="H19" i="1"/>
  <c r="G44" i="1" s="1"/>
  <c r="J44" i="1" s="1"/>
  <c r="H18" i="1"/>
  <c r="G43" i="1" s="1"/>
  <c r="J43" i="1" s="1"/>
  <c r="H17" i="1"/>
  <c r="G42" i="1" s="1"/>
  <c r="J42" i="1" s="1"/>
  <c r="J60" i="1" s="1"/>
  <c r="G64" i="1" s="1"/>
  <c r="B47" i="1"/>
  <c r="B46" i="1"/>
  <c r="B54" i="1" s="1"/>
  <c r="G12" i="1"/>
  <c r="G11" i="1"/>
  <c r="B42" i="1" s="1"/>
  <c r="B44" i="1" s="1"/>
  <c r="B40" i="1"/>
  <c r="B39" i="1"/>
  <c r="K60" i="1" l="1"/>
  <c r="H64" i="1" s="1"/>
  <c r="B49" i="1"/>
  <c r="B52" i="1" s="1"/>
  <c r="H65" i="1" s="1"/>
  <c r="B53" i="1"/>
  <c r="H66" i="1" s="1"/>
  <c r="B43" i="1"/>
  <c r="B48" i="1" s="1"/>
  <c r="B51" i="1" s="1"/>
  <c r="G65" i="1" s="1"/>
  <c r="G67" i="1" s="1"/>
  <c r="B41" i="1"/>
  <c r="G68" i="1" l="1"/>
  <c r="G69" i="1" s="1"/>
  <c r="H67" i="1"/>
  <c r="H69" i="1" l="1"/>
  <c r="H68" i="1"/>
</calcChain>
</file>

<file path=xl/sharedStrings.xml><?xml version="1.0" encoding="utf-8"?>
<sst xmlns="http://schemas.openxmlformats.org/spreadsheetml/2006/main" count="270" uniqueCount="199">
  <si>
    <t>Component</t>
  </si>
  <si>
    <t>Quantity</t>
  </si>
  <si>
    <t>Notes</t>
  </si>
  <si>
    <t>Ceiling</t>
  </si>
  <si>
    <t>Doors</t>
  </si>
  <si>
    <t>Windows</t>
  </si>
  <si>
    <t>Floor area</t>
  </si>
  <si>
    <t>Floor perimeter</t>
  </si>
  <si>
    <t>2 (each 0.9 by 2.1 m)</t>
  </si>
  <si>
    <t>Include perimeter adjacent to garage</t>
  </si>
  <si>
    <t>Wall gross area (including garage wall) plus ceiling area</t>
  </si>
  <si>
    <t>Overall area less garage area (22.6 × 11) – (7.3 × 7.3)</t>
  </si>
  <si>
    <t>Ceiling [m²]</t>
  </si>
  <si>
    <t>Doors [m²]</t>
  </si>
  <si>
    <t>Windows [m²]</t>
  </si>
  <si>
    <t>Walls, exposed exterior [m²]</t>
  </si>
  <si>
    <t>Walls, garage [m²]</t>
  </si>
  <si>
    <t>Floor area [m²]</t>
  </si>
  <si>
    <t>Floor perimeter [m]</t>
  </si>
  <si>
    <t>Total exposed surface [m²]</t>
  </si>
  <si>
    <r>
      <t>Volume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</si>
  <si>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House Component Quantities</t>
  </si>
  <si>
    <t>Description</t>
  </si>
  <si>
    <t>Factors</t>
  </si>
  <si>
    <t>Roof/ceiling</t>
  </si>
  <si>
    <t>Flat wood frame ceiling (insulated with R-5.3 fiberglass) beneath vented attic with medium asphalt shingle roof</t>
  </si>
  <si>
    <t>U = 0.18 W/(m²·K), α_roof = 0.85 (Table 8)</t>
  </si>
  <si>
    <t>Exterior walls</t>
  </si>
  <si>
    <t>Wood frame, exterior wood sheathing, interior gypsum board, R-2.3 fiberglass insulation</t>
  </si>
  <si>
    <t>Wood, solid core</t>
  </si>
  <si>
    <t>U = 2.3 W/(m²·K)</t>
  </si>
  <si>
    <t>Floor</t>
  </si>
  <si>
    <t>Slab on grade with heavy carpet over rubber pad; R-0.9 edge insulation to 1 m below grade</t>
  </si>
  <si>
    <t>Low-e/low-solar in wood frames. Half fixed, half operable with insect screens (except living room picture window, which is fixed). 0.6 m eave overhang on east and west with eave edge at same height as top of glazing for all windows. Allow for typical closed-weave light drape interior shading, half closed.</t>
  </si>
  <si>
    <t>Construction</t>
  </si>
  <si>
    <t>Good</t>
  </si>
  <si>
    <t>House Characteristics</t>
  </si>
  <si>
    <t>A_ul = 1.4 cm²/m² (Table 3)</t>
  </si>
  <si>
    <t>Fixed: U = 2.01 W/(m²·K); SHGC = 0.36 (Table 2)
Operable: U = 2.21 W/(m²·K); SHGC = 0.31 (Table 2);        T_x = 0.64 (Table 11)
IAC_cl = 0.68 (Table 14)</t>
  </si>
  <si>
    <t xml:space="preserve">Item </t>
  </si>
  <si>
    <t>Heating</t>
  </si>
  <si>
    <t>Cooling</t>
  </si>
  <si>
    <t>Latitude</t>
  </si>
  <si>
    <t>Indoor temperature [C]</t>
  </si>
  <si>
    <t>Indoor relative humidity [%]</t>
  </si>
  <si>
    <t>Outdoor temperature [C]</t>
  </si>
  <si>
    <t>Outdoor wet bulb [C]</t>
  </si>
  <si>
    <t>Wind speed [m/s]</t>
  </si>
  <si>
    <t>-</t>
  </si>
  <si>
    <t>Design delta T [K]</t>
  </si>
  <si>
    <t>Daily range [K]</t>
  </si>
  <si>
    <t>Moisture difference [kg/kg]</t>
  </si>
  <si>
    <t>41.88 N</t>
  </si>
  <si>
    <t>Elevation</t>
  </si>
  <si>
    <t>181 m</t>
  </si>
  <si>
    <t>No humidification</t>
  </si>
  <si>
    <t>MCWB at 1%</t>
  </si>
  <si>
    <t>Psychrometric chart</t>
  </si>
  <si>
    <t>Cooling: 1% value, Heating: 99%</t>
  </si>
  <si>
    <t>SLF</t>
  </si>
  <si>
    <t>General convention</t>
  </si>
  <si>
    <t xml:space="preserve">FF_s </t>
  </si>
  <si>
    <t>Table 5</t>
  </si>
  <si>
    <t>E_D</t>
  </si>
  <si>
    <t>E_d</t>
  </si>
  <si>
    <t>E_t</t>
  </si>
  <si>
    <t>D_oh</t>
  </si>
  <si>
    <t>m</t>
  </si>
  <si>
    <t>X_oh</t>
  </si>
  <si>
    <t>h</t>
  </si>
  <si>
    <t>F_s</t>
  </si>
  <si>
    <t>PXI</t>
  </si>
  <si>
    <t>IAC</t>
  </si>
  <si>
    <t>W/m²</t>
  </si>
  <si>
    <t>CF</t>
  </si>
  <si>
    <t>A_L</t>
  </si>
  <si>
    <t>cm²</t>
  </si>
  <si>
    <t>IDF [L*s/cm²]</t>
  </si>
  <si>
    <t>Height [m]</t>
  </si>
  <si>
    <t>Wall height</t>
  </si>
  <si>
    <t>Q_ih</t>
  </si>
  <si>
    <t>L/s</t>
  </si>
  <si>
    <t>Q_ic</t>
  </si>
  <si>
    <t>Building leakage area</t>
  </si>
  <si>
    <t>N_br</t>
  </si>
  <si>
    <t>Number of bedrooms</t>
  </si>
  <si>
    <t>Interior attenuation coefficient</t>
  </si>
  <si>
    <t>N_oc</t>
  </si>
  <si>
    <t>Number of occupants</t>
  </si>
  <si>
    <t>Fenestratrion Solar Load factor, Table 13</t>
  </si>
  <si>
    <t>Depth of overhang</t>
  </si>
  <si>
    <t>Vertical distance from top of fenestration to overhang</t>
  </si>
  <si>
    <t>Direct irradiance, Table 10</t>
  </si>
  <si>
    <t>Diffuse irradiance, Table 10</t>
  </si>
  <si>
    <t>Peak total irradiance, Table 10</t>
  </si>
  <si>
    <t>Height of fenestration</t>
  </si>
  <si>
    <t>Surface cooling factor</t>
  </si>
  <si>
    <t>Peak exterior irradiance</t>
  </si>
  <si>
    <t>Fraction of fenestration shaded</t>
  </si>
  <si>
    <t>Infiltration airflow rate for heating</t>
  </si>
  <si>
    <t>Infiltration airflow rate for cooling</t>
  </si>
  <si>
    <t>House Load Calculations</t>
  </si>
  <si>
    <t>Value</t>
  </si>
  <si>
    <t>Units</t>
  </si>
  <si>
    <t>West Exposure at 41.88N Latitude, Table 12</t>
  </si>
  <si>
    <t>Q_v</t>
  </si>
  <si>
    <t>Required ventilation flow rate</t>
  </si>
  <si>
    <t>Q_vih</t>
  </si>
  <si>
    <t>Q_vic</t>
  </si>
  <si>
    <t>Combined infiltration/ventilation flow rate for heating</t>
  </si>
  <si>
    <t>Combined infiltration/ventilation flow rate for cooling</t>
  </si>
  <si>
    <t>C_s</t>
  </si>
  <si>
    <t>Air sensible heat factor</t>
  </si>
  <si>
    <t>q_vi_sh</t>
  </si>
  <si>
    <t>q_vi_sc</t>
  </si>
  <si>
    <t>W</t>
  </si>
  <si>
    <t>Sensible infiltration/ventilation load for heating</t>
  </si>
  <si>
    <t>Sensible infiltration/ventilation load for cooling</t>
  </si>
  <si>
    <t>q_igs</t>
  </si>
  <si>
    <t>q_igl</t>
  </si>
  <si>
    <t>Sensible cooling load from internal gains</t>
  </si>
  <si>
    <t>Latent cooling load from internal gains</t>
  </si>
  <si>
    <t>C_l</t>
  </si>
  <si>
    <t>W/(L*s*K)</t>
  </si>
  <si>
    <t>W/(L*s)</t>
  </si>
  <si>
    <t>Air latent heat factor</t>
  </si>
  <si>
    <t>C_t</t>
  </si>
  <si>
    <t>Air total heat factor</t>
  </si>
  <si>
    <t>F_dlh</t>
  </si>
  <si>
    <t>F_dlc</t>
  </si>
  <si>
    <t>m²*K/W</t>
  </si>
  <si>
    <t>Duct loss/gain factor for heating</t>
  </si>
  <si>
    <t>Duct loss/gain factor for cooling</t>
  </si>
  <si>
    <t>q_vi_l</t>
  </si>
  <si>
    <t>Latent infiltration/ventilation load</t>
  </si>
  <si>
    <t>House Opaque Surface Factors</t>
  </si>
  <si>
    <t>U, W/(m²·K) or F_P,W/(m·K)</t>
  </si>
  <si>
    <t>HF</t>
  </si>
  <si>
    <t>Reference</t>
  </si>
  <si>
    <t>OF_t</t>
  </si>
  <si>
    <t>OF_b</t>
  </si>
  <si>
    <t>OF_r</t>
  </si>
  <si>
    <t>Equation (34)</t>
  </si>
  <si>
    <t>Wall</t>
  </si>
  <si>
    <t>Garage wall</t>
  </si>
  <si>
    <t>Door</t>
  </si>
  <si>
    <t>Chapter 18, Eq.(42)</t>
  </si>
  <si>
    <t>Equation (23)</t>
  </si>
  <si>
    <t>House Window Factors</t>
  </si>
  <si>
    <t>Exposure</t>
  </si>
  <si>
    <t>Height (m)</t>
  </si>
  <si>
    <t>Frame</t>
  </si>
  <si>
    <t>U (W/m²·K)</t>
  </si>
  <si>
    <t>West</t>
  </si>
  <si>
    <t>Fixed</t>
  </si>
  <si>
    <t>Operable</t>
  </si>
  <si>
    <t>South</t>
  </si>
  <si>
    <t>East</t>
  </si>
  <si>
    <t>House Envelope Loads</t>
  </si>
  <si>
    <t>Quantity (m² or m)</t>
  </si>
  <si>
    <t>Heating Load (W)</t>
  </si>
  <si>
    <t>Cooling Load (W)</t>
  </si>
  <si>
    <t>U = 0.51 W/(m²·K)</t>
  </si>
  <si>
    <t>R_cvr = 0.21 (m²·K)/W                                                                     F_p = 0.85 W/(m²·K)</t>
  </si>
  <si>
    <t>Table 7 Eq.(21)</t>
  </si>
  <si>
    <t>T_x</t>
  </si>
  <si>
    <t>F_shd</t>
  </si>
  <si>
    <t>SHGC</t>
  </si>
  <si>
    <t>FF_s</t>
  </si>
  <si>
    <t>W-Fixed-0.9</t>
  </si>
  <si>
    <t>W-Operable-0.9</t>
  </si>
  <si>
    <t>W-Fixed-1.8</t>
  </si>
  <si>
    <t>W-Operable-1.8</t>
  </si>
  <si>
    <t>W-Fixed-2.4</t>
  </si>
  <si>
    <t>S-Fixed-1.2</t>
  </si>
  <si>
    <t>S-Operable-1.2</t>
  </si>
  <si>
    <t>E-Fixed-0.9</t>
  </si>
  <si>
    <t>E-Operable-0.9</t>
  </si>
  <si>
    <t>E-Fixed-1.2</t>
  </si>
  <si>
    <t>E-Operable-1.2</t>
  </si>
  <si>
    <t>Envelope Totals</t>
  </si>
  <si>
    <t>Net, 126.2 gross</t>
  </si>
  <si>
    <t>Total Sensible Loads</t>
  </si>
  <si>
    <t>Item</t>
  </si>
  <si>
    <t>Envelope</t>
  </si>
  <si>
    <t>Infiltration/Ventilation</t>
  </si>
  <si>
    <t>Internal Gain</t>
  </si>
  <si>
    <t>Subtotal</t>
  </si>
  <si>
    <t>Distribution Loss</t>
  </si>
  <si>
    <t>Total Sensible Load</t>
  </si>
  <si>
    <t>Heating Load, W</t>
  </si>
  <si>
    <t>Cooling Load, W</t>
  </si>
  <si>
    <t>Temperature</t>
  </si>
  <si>
    <t>Load</t>
  </si>
  <si>
    <t>q_l</t>
  </si>
  <si>
    <t>Total latent cooling load</t>
  </si>
  <si>
    <t>Total Sensible + Latent Load</t>
  </si>
  <si>
    <t>SHR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</si>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</sst>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/>
    <xf numFmtId="0" fontId="0" fillId="0" borderId="10" xfId="0" applyBorder="1"/>
    <xf numFmtId="2" fontId="0" fillId="0" borderId="0" xfId="0" applyNumberFormat="1"/>
    <xf numFmtId="1" fontId="0" fillId="0" borderId="11" xfId="0" applyNumberFormat="1" applyBorder="1"/>
    <xf numFmtId="164" fontId="0" fillId="0" borderId="0" xfId="0" applyNumberFormat="1"/>
    <xf numFmtId="0" fontId="0" fillId="0" borderId="7" xfId="0" applyBorder="1"/>
    <xf numFmtId="0" fontId="0" fillId="0" borderId="2" xfId="0" applyBorder="1"/>
    <xf numFmtId="1" fontId="0" fillId="0" borderId="2" xfId="0" applyNumberFormat="1" applyBorder="1"/>
    <xf numFmtId="164" fontId="0" fillId="0" borderId="11" xfId="0" applyNumberFormat="1" applyBorder="1"/>
    <xf numFmtId="2" fontId="0" fillId="0" borderId="2" xfId="0" applyNumberFormat="1" applyBorder="1"/>
    <xf numFmtId="164" fontId="0" fillId="0" borderId="12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1" fontId="0" fillId="0" borderId="4" xfId="0" applyNumberFormat="1" applyBorder="1"/>
    <xf numFmtId="1" fontId="0" fillId="0" borderId="6" xfId="0" applyNumberFormat="1" applyBorder="1"/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Sheet1!$G$72</c:f>
              <c:strCache>
                <c:ptCount val="1"/>
                <c:pt idx="0">
                  <c:v>Load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Sheet1!$F$73:$F$121</c:f>
              <c:numCache>
                <c:formatCode>General</c:formatCode>
                <c:ptCount val="49"/>
                <c:pt idx="0">
                  <c:v>-16.100000000000001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31.9</c:v>
                </c:pt>
              </c:numCache>
            </c:numRef>
          </c:xVal>
          <c:yVal>
            <c:numRef>
              <c:f>Sheet1!$G$73:$G$121</c:f>
              <c:numCache>
                <c:formatCode>0</c:formatCode>
                <c:ptCount val="49"/>
                <c:pt idx="0">
                  <c:v>12843</c:v>
                </c:pt>
                <c:pt idx="1">
                  <c:v>12451.662049861494</c:v>
                </c:pt>
                <c:pt idx="2">
                  <c:v>12095.90027700831</c:v>
                </c:pt>
                <c:pt idx="3">
                  <c:v>11740.138504155124</c:v>
                </c:pt>
                <c:pt idx="4">
                  <c:v>11384.376731301938</c:v>
                </c:pt>
                <c:pt idx="5">
                  <c:v>11028.614958448752</c:v>
                </c:pt>
                <c:pt idx="6">
                  <c:v>10672.853185595566</c:v>
                </c:pt>
                <c:pt idx="7">
                  <c:v>10317.091412742382</c:v>
                </c:pt>
                <c:pt idx="8">
                  <c:v>9961.3296398891962</c:v>
                </c:pt>
                <c:pt idx="9">
                  <c:v>9605.5678670360103</c:v>
                </c:pt>
                <c:pt idx="10">
                  <c:v>9249.8060941828244</c:v>
                </c:pt>
                <c:pt idx="11">
                  <c:v>8894.0443213296385</c:v>
                </c:pt>
                <c:pt idx="12">
                  <c:v>8538.2825484764544</c:v>
                </c:pt>
                <c:pt idx="13">
                  <c:v>8182.5207756232676</c:v>
                </c:pt>
                <c:pt idx="14">
                  <c:v>7826.7590027700826</c:v>
                </c:pt>
                <c:pt idx="15">
                  <c:v>7470.9972299168967</c:v>
                </c:pt>
                <c:pt idx="16">
                  <c:v>7115.2354570637108</c:v>
                </c:pt>
                <c:pt idx="17">
                  <c:v>6759.4736842105258</c:v>
                </c:pt>
                <c:pt idx="18">
                  <c:v>6403.7119113573399</c:v>
                </c:pt>
                <c:pt idx="19">
                  <c:v>6047.9501385041549</c:v>
                </c:pt>
                <c:pt idx="20">
                  <c:v>5692.188365650969</c:v>
                </c:pt>
                <c:pt idx="21">
                  <c:v>5336.4265927977831</c:v>
                </c:pt>
                <c:pt idx="22">
                  <c:v>4980.6648199445981</c:v>
                </c:pt>
                <c:pt idx="23">
                  <c:v>4624.9030470914122</c:v>
                </c:pt>
                <c:pt idx="24">
                  <c:v>4269.1412742382272</c:v>
                </c:pt>
                <c:pt idx="25">
                  <c:v>3913.3795013850413</c:v>
                </c:pt>
                <c:pt idx="26">
                  <c:v>3557.6177285318554</c:v>
                </c:pt>
                <c:pt idx="27">
                  <c:v>3201.8559556786699</c:v>
                </c:pt>
                <c:pt idx="28">
                  <c:v>2846.0941828254845</c:v>
                </c:pt>
                <c:pt idx="29">
                  <c:v>2490.332409972299</c:v>
                </c:pt>
                <c:pt idx="30">
                  <c:v>2134.5706371191136</c:v>
                </c:pt>
                <c:pt idx="31">
                  <c:v>1778.8088642659277</c:v>
                </c:pt>
                <c:pt idx="32">
                  <c:v>1423.0470914127422</c:v>
                </c:pt>
                <c:pt idx="33">
                  <c:v>1067.2853185595568</c:v>
                </c:pt>
                <c:pt idx="34">
                  <c:v>711.52354570637112</c:v>
                </c:pt>
                <c:pt idx="35">
                  <c:v>355.76177285318556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>
                  <c:v>0</c:v>
                </c:pt>
                <c:pt idx="41">
                  <c:v>582.91139240506322</c:v>
                </c:pt>
                <c:pt idx="42">
                  <c:v>1165.8227848101264</c:v>
                </c:pt>
                <c:pt idx="43">
                  <c:v>1748.7341772151897</c:v>
                </c:pt>
                <c:pt idx="44">
                  <c:v>2331.6455696202529</c:v>
                </c:pt>
                <c:pt idx="45">
                  <c:v>2914.5569620253164</c:v>
                </c:pt>
                <c:pt idx="46">
                  <c:v>3497.4683544303793</c:v>
                </c:pt>
                <c:pt idx="47">
                  <c:v>4080.3797468354423</c:v>
                </c:pt>
                <c:pt idx="48">
                  <c:v>4604.9999999999991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1-4934-8C5B-26CFC5C82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200352"/>
        <c:axId val="748200832"/>
      </c:scatterChart>
      <c:valAx>
        <c:axId val="7482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00832"/>
        <c:crosses val="autoZero"/>
        <c:crossBetween val="midCat"/>
      </c:valAx>
      <c:valAx>
        <c:axId val="7482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0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233361</xdr:colOff>
      <xdr:row>73</xdr:row>
      <xdr:rowOff>80961</xdr:rowOff>
    </xdr:from>
    <xdr:to>
      <xdr:col>10</xdr:col>
      <xdr:colOff>609600</xdr:colOff>
      <xdr:row>91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634F1-5DE8-5CC4-F974-B89694464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topLeftCell="D44" workbookViewId="0">
      <selection activeCell="H100" sqref="H100"/>
    </sheetView>
  </sheetViews>
  <sheetFormatPr defaultRowHeight="15" x14ac:dyDescent="0.25"/>
  <cols>
    <col min="1" max="1" width="26.5703125" bestFit="1" customWidth="1"/>
    <col min="2" max="3" width="32.85546875" customWidth="1"/>
    <col min="4" max="4" width="50.85546875" bestFit="1" customWidth="1"/>
    <col min="6" max="6" width="26.85546875" bestFit="1" customWidth="1"/>
    <col min="7" max="7" width="25.85546875" bestFit="1" customWidth="1"/>
    <col min="8" max="8" width="50.85546875" bestFit="1" customWidth="1"/>
    <col min="9" max="9" width="17.85546875" bestFit="1" customWidth="1"/>
    <col min="10" max="10" width="16.42578125" bestFit="1" customWidth="1"/>
    <col min="11" max="11" width="16.28515625" bestFit="1" customWidth="1"/>
    <col min="14" max="14" width="14" bestFit="1" customWidth="1"/>
  </cols>
  <sheetData>
    <row r="1" spans="1:14" x14ac:dyDescent="0.25">
      <c r="A1" s="49" t="s">
        <v>36</v>
      </c>
      <c r="B1" s="50"/>
      <c r="C1" s="50"/>
      <c r="D1" s="51"/>
      <c r="F1" s="49" t="s">
        <v>21</v>
      </c>
      <c r="G1" s="50"/>
      <c r="H1" s="51"/>
    </row>
    <row r="2" spans="1:14" x14ac:dyDescent="0.25">
      <c r="A2" s="2" t="s">
        <v>0</v>
      </c>
      <c r="B2" s="52" t="s">
        <v>22</v>
      </c>
      <c r="C2" s="53"/>
      <c r="D2" s="2" t="s">
        <v>23</v>
      </c>
      <c r="F2" s="2" t="s">
        <v>0</v>
      </c>
      <c r="G2" s="2" t="s">
        <v>1</v>
      </c>
      <c r="H2" s="2" t="s">
        <v>2</v>
      </c>
    </row>
    <row r="3" spans="1:14" ht="30" customHeight="1" x14ac:dyDescent="0.25">
      <c r="A3" s="15" t="s">
        <v>24</v>
      </c>
      <c r="B3" s="59" t="s">
        <v>25</v>
      </c>
      <c r="C3" s="59"/>
      <c r="D3" s="29" t="s">
        <v>26</v>
      </c>
      <c r="F3" s="34" t="s">
        <v>78</v>
      </c>
      <c r="G3" s="3">
        <v>2.4</v>
      </c>
      <c r="H3" s="35" t="s">
        <v>79</v>
      </c>
    </row>
    <row r="4" spans="1:14" ht="15" customHeight="1" x14ac:dyDescent="0.25">
      <c r="A4" s="15" t="s">
        <v>27</v>
      </c>
      <c r="B4" s="60" t="s">
        <v>28</v>
      </c>
      <c r="C4" s="60"/>
      <c r="D4" s="29" t="s">
        <v>162</v>
      </c>
      <c r="F4" s="23" t="s">
        <v>12</v>
      </c>
      <c r="G4" s="1">
        <v>195.3</v>
      </c>
      <c r="H4" s="26" t="s">
        <v>11</v>
      </c>
    </row>
    <row r="5" spans="1:14" ht="15" customHeight="1" x14ac:dyDescent="0.25">
      <c r="A5" s="15" t="s">
        <v>4</v>
      </c>
      <c r="B5" s="60" t="s">
        <v>29</v>
      </c>
      <c r="C5" s="60"/>
      <c r="D5" s="29" t="s">
        <v>30</v>
      </c>
      <c r="F5" s="23" t="s">
        <v>13</v>
      </c>
      <c r="G5" s="1">
        <v>3.8</v>
      </c>
      <c r="H5" s="26" t="s">
        <v>8</v>
      </c>
    </row>
    <row r="6" spans="1:14" ht="30" x14ac:dyDescent="0.25">
      <c r="A6" s="15" t="s">
        <v>31</v>
      </c>
      <c r="B6" s="60" t="s">
        <v>32</v>
      </c>
      <c r="C6" s="60"/>
      <c r="D6" s="29" t="s">
        <v>163</v>
      </c>
      <c r="F6" s="23" t="s">
        <v>14</v>
      </c>
      <c r="G6" s="1">
        <v>13.9</v>
      </c>
      <c r="H6" s="26"/>
    </row>
    <row r="7" spans="1:14" ht="60" x14ac:dyDescent="0.25">
      <c r="A7" s="15" t="s">
        <v>5</v>
      </c>
      <c r="B7" s="60" t="s">
        <v>33</v>
      </c>
      <c r="C7" s="60"/>
      <c r="D7" s="29" t="s">
        <v>38</v>
      </c>
      <c r="F7" s="23" t="s">
        <v>15</v>
      </c>
      <c r="G7" s="1">
        <v>108.5</v>
      </c>
      <c r="H7" s="26" t="s">
        <v>181</v>
      </c>
    </row>
    <row r="8" spans="1:14" ht="15" customHeight="1" x14ac:dyDescent="0.25">
      <c r="A8" s="20" t="s">
        <v>34</v>
      </c>
      <c r="B8" s="61" t="s">
        <v>35</v>
      </c>
      <c r="C8" s="61"/>
      <c r="D8" s="22" t="s">
        <v>37</v>
      </c>
      <c r="F8" s="23" t="s">
        <v>16</v>
      </c>
      <c r="G8" s="1">
        <v>35</v>
      </c>
      <c r="H8" s="26"/>
    </row>
    <row r="9" spans="1:14" x14ac:dyDescent="0.25">
      <c r="F9" s="23" t="s">
        <v>17</v>
      </c>
      <c r="G9" s="1">
        <v>195.3</v>
      </c>
      <c r="H9" s="26"/>
    </row>
    <row r="10" spans="1:14" x14ac:dyDescent="0.25">
      <c r="F10" s="23" t="s">
        <v>18</v>
      </c>
      <c r="G10" s="1">
        <v>67.2</v>
      </c>
      <c r="H10" s="26" t="s">
        <v>9</v>
      </c>
    </row>
    <row r="11" spans="1:14" x14ac:dyDescent="0.25">
      <c r="F11" s="23" t="s">
        <v>19</v>
      </c>
      <c r="G11" s="1">
        <f>G10*G3+G4</f>
        <v>356.58000000000004</v>
      </c>
      <c r="H11" s="26" t="s">
        <v>10</v>
      </c>
    </row>
    <row r="12" spans="1:14" ht="17.25" x14ac:dyDescent="0.25">
      <c r="F12" s="24" t="s">
        <v>20</v>
      </c>
      <c r="G12" s="27">
        <f>G9*G3</f>
        <v>468.72</v>
      </c>
      <c r="H12" s="28"/>
    </row>
    <row r="13" spans="1:14" x14ac:dyDescent="0.25">
      <c r="F13" s="1"/>
      <c r="G13" s="1"/>
      <c r="H13" s="1"/>
    </row>
    <row r="14" spans="1:14" x14ac:dyDescent="0.25">
      <c r="A14" s="49" t="s">
        <v>21</v>
      </c>
      <c r="B14" s="50"/>
      <c r="C14" s="50"/>
      <c r="D14" s="51"/>
      <c r="F14" s="49" t="s">
        <v>135</v>
      </c>
      <c r="G14" s="50"/>
      <c r="H14" s="50"/>
      <c r="I14" s="50"/>
      <c r="J14" s="50"/>
      <c r="K14" s="50"/>
      <c r="L14" s="50"/>
      <c r="M14" s="50"/>
      <c r="N14" s="51"/>
    </row>
    <row r="15" spans="1:14" x14ac:dyDescent="0.25">
      <c r="A15" s="2" t="s">
        <v>39</v>
      </c>
      <c r="B15" s="2" t="s">
        <v>40</v>
      </c>
      <c r="C15" s="2" t="s">
        <v>41</v>
      </c>
      <c r="D15" s="2" t="s">
        <v>2</v>
      </c>
      <c r="F15" s="57"/>
      <c r="G15" s="58"/>
      <c r="H15" s="49" t="s">
        <v>40</v>
      </c>
      <c r="I15" s="51"/>
      <c r="J15" s="54" t="s">
        <v>41</v>
      </c>
      <c r="K15" s="55"/>
      <c r="L15" s="55"/>
      <c r="M15" s="55"/>
      <c r="N15" s="56"/>
    </row>
    <row r="16" spans="1:14" x14ac:dyDescent="0.25">
      <c r="A16" s="23" t="s">
        <v>42</v>
      </c>
      <c r="B16" s="1" t="s">
        <v>48</v>
      </c>
      <c r="C16" s="1" t="s">
        <v>48</v>
      </c>
      <c r="D16" s="26" t="s">
        <v>52</v>
      </c>
      <c r="F16" s="2" t="s">
        <v>0</v>
      </c>
      <c r="G16" s="2" t="s">
        <v>136</v>
      </c>
      <c r="H16" s="2" t="s">
        <v>137</v>
      </c>
      <c r="I16" s="2" t="s">
        <v>138</v>
      </c>
      <c r="J16" s="2" t="s">
        <v>139</v>
      </c>
      <c r="K16" s="2" t="s">
        <v>140</v>
      </c>
      <c r="L16" s="2" t="s">
        <v>141</v>
      </c>
      <c r="M16" s="2" t="s">
        <v>74</v>
      </c>
      <c r="N16" s="2" t="s">
        <v>138</v>
      </c>
    </row>
    <row r="17" spans="1:17" x14ac:dyDescent="0.25">
      <c r="A17" s="23" t="s">
        <v>53</v>
      </c>
      <c r="B17" s="1" t="s">
        <v>48</v>
      </c>
      <c r="C17" s="1" t="s">
        <v>48</v>
      </c>
      <c r="D17" s="26" t="s">
        <v>54</v>
      </c>
      <c r="F17" s="15" t="s">
        <v>3</v>
      </c>
      <c r="G17" s="16">
        <v>0.18</v>
      </c>
      <c r="H17" s="17">
        <f>$B$24*G17</f>
        <v>6.4980000000000002</v>
      </c>
      <c r="I17" s="16" t="s">
        <v>142</v>
      </c>
      <c r="J17" s="16">
        <v>0.62</v>
      </c>
      <c r="K17" s="16">
        <v>7.66</v>
      </c>
      <c r="L17" s="16">
        <v>-0.19</v>
      </c>
      <c r="M17" s="17">
        <f>G17*(J17*$C$24+K17+L17*$C$21)</f>
        <v>1.9560599999999997</v>
      </c>
      <c r="N17" s="18" t="s">
        <v>164</v>
      </c>
    </row>
    <row r="18" spans="1:17" x14ac:dyDescent="0.25">
      <c r="A18" s="23" t="s">
        <v>43</v>
      </c>
      <c r="B18" s="1">
        <v>20</v>
      </c>
      <c r="C18" s="1">
        <v>24</v>
      </c>
      <c r="D18" s="26"/>
      <c r="F18" s="15" t="s">
        <v>143</v>
      </c>
      <c r="G18" s="16">
        <v>0.51</v>
      </c>
      <c r="H18" s="17">
        <f>$B$24*G18</f>
        <v>18.411000000000001</v>
      </c>
      <c r="I18" s="16"/>
      <c r="J18" s="16">
        <v>1</v>
      </c>
      <c r="K18" s="16">
        <v>8.1999999999999993</v>
      </c>
      <c r="L18" s="16">
        <v>-0.36</v>
      </c>
      <c r="M18" s="17">
        <f t="shared" ref="M18:M20" si="0">G18*(J18*$C$24+K18+L18*$C$21)</f>
        <v>6.5769600000000006</v>
      </c>
      <c r="N18" s="18"/>
    </row>
    <row r="19" spans="1:17" x14ac:dyDescent="0.25">
      <c r="A19" s="23" t="s">
        <v>44</v>
      </c>
      <c r="B19" s="1" t="s">
        <v>48</v>
      </c>
      <c r="C19" s="1">
        <v>50</v>
      </c>
      <c r="D19" s="26" t="s">
        <v>55</v>
      </c>
      <c r="F19" s="15" t="s">
        <v>144</v>
      </c>
      <c r="G19" s="16">
        <v>0.51</v>
      </c>
      <c r="H19" s="17">
        <f>$B$24*G19</f>
        <v>18.411000000000001</v>
      </c>
      <c r="I19" s="16"/>
      <c r="J19" s="16">
        <v>1</v>
      </c>
      <c r="K19" s="16">
        <v>0</v>
      </c>
      <c r="L19" s="16">
        <v>-0.36</v>
      </c>
      <c r="M19" s="17">
        <f t="shared" si="0"/>
        <v>2.3949599999999998</v>
      </c>
      <c r="N19" s="18"/>
    </row>
    <row r="20" spans="1:17" x14ac:dyDescent="0.25">
      <c r="A20" s="23" t="s">
        <v>45</v>
      </c>
      <c r="B20" s="1">
        <v>-16.100000000000001</v>
      </c>
      <c r="C20" s="1">
        <v>31.9</v>
      </c>
      <c r="D20" s="26" t="s">
        <v>58</v>
      </c>
      <c r="F20" s="15" t="s">
        <v>145</v>
      </c>
      <c r="G20" s="16">
        <v>2.2999999999999998</v>
      </c>
      <c r="H20" s="17">
        <f>$B$24*G20</f>
        <v>83.03</v>
      </c>
      <c r="J20" s="16">
        <v>1</v>
      </c>
      <c r="K20" s="16">
        <v>8.1999999999999993</v>
      </c>
      <c r="L20" s="16">
        <v>-0.36</v>
      </c>
      <c r="M20" s="17">
        <f t="shared" si="0"/>
        <v>29.660799999999998</v>
      </c>
      <c r="N20" s="18"/>
    </row>
    <row r="21" spans="1:17" x14ac:dyDescent="0.25">
      <c r="A21" s="23" t="s">
        <v>50</v>
      </c>
      <c r="B21" s="1" t="s">
        <v>48</v>
      </c>
      <c r="C21" s="1">
        <v>8.9</v>
      </c>
      <c r="D21" s="26"/>
      <c r="F21" s="15" t="s">
        <v>7</v>
      </c>
      <c r="G21" s="16">
        <v>0.85</v>
      </c>
      <c r="H21" s="17">
        <f>$B$24*G21</f>
        <v>30.684999999999999</v>
      </c>
      <c r="I21" s="16" t="s">
        <v>146</v>
      </c>
      <c r="J21" s="16"/>
      <c r="K21" s="16"/>
      <c r="L21" s="16"/>
      <c r="M21" s="16"/>
      <c r="N21" s="19"/>
    </row>
    <row r="22" spans="1:17" x14ac:dyDescent="0.25">
      <c r="A22" s="23" t="s">
        <v>46</v>
      </c>
      <c r="B22" s="1" t="s">
        <v>48</v>
      </c>
      <c r="C22" s="1">
        <v>23.1</v>
      </c>
      <c r="D22" s="26" t="s">
        <v>56</v>
      </c>
      <c r="F22" s="20" t="s">
        <v>6</v>
      </c>
      <c r="G22" s="21"/>
      <c r="H22" s="21"/>
      <c r="I22" s="21"/>
      <c r="J22" s="21">
        <v>1.9</v>
      </c>
      <c r="K22" s="21">
        <v>-4.24</v>
      </c>
      <c r="L22" s="21"/>
      <c r="M22" s="21">
        <v>-2.34</v>
      </c>
      <c r="N22" s="22" t="s">
        <v>147</v>
      </c>
    </row>
    <row r="23" spans="1:17" x14ac:dyDescent="0.25">
      <c r="A23" s="23" t="s">
        <v>47</v>
      </c>
      <c r="B23" s="1">
        <v>6.7</v>
      </c>
      <c r="C23" s="1">
        <v>3.4</v>
      </c>
      <c r="D23" s="26" t="s">
        <v>60</v>
      </c>
    </row>
    <row r="24" spans="1:17" x14ac:dyDescent="0.25">
      <c r="A24" s="23" t="s">
        <v>49</v>
      </c>
      <c r="B24" s="1">
        <v>36.1</v>
      </c>
      <c r="C24" s="1">
        <v>7.9</v>
      </c>
      <c r="D24" s="19"/>
    </row>
    <row r="25" spans="1:17" x14ac:dyDescent="0.25">
      <c r="A25" s="23" t="s">
        <v>51</v>
      </c>
      <c r="C25" s="1">
        <v>5.0000000000000001E-3</v>
      </c>
      <c r="D25" s="26" t="s">
        <v>57</v>
      </c>
      <c r="F25" s="46" t="s">
        <v>148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8"/>
    </row>
    <row r="26" spans="1:17" x14ac:dyDescent="0.25">
      <c r="A26" s="24" t="s">
        <v>77</v>
      </c>
      <c r="B26" s="10">
        <v>8.2000000000000003E-2</v>
      </c>
      <c r="C26" s="27">
        <v>3.3000000000000002E-2</v>
      </c>
      <c r="D26" s="28" t="s">
        <v>62</v>
      </c>
      <c r="F26" s="2" t="s">
        <v>149</v>
      </c>
      <c r="G26" s="2" t="s">
        <v>150</v>
      </c>
      <c r="H26" s="2" t="s">
        <v>151</v>
      </c>
      <c r="I26" s="2" t="s">
        <v>152</v>
      </c>
      <c r="J26" s="2" t="s">
        <v>137</v>
      </c>
      <c r="K26" s="2" t="s">
        <v>165</v>
      </c>
      <c r="L26" s="2" t="s">
        <v>166</v>
      </c>
      <c r="M26" s="2" t="s">
        <v>71</v>
      </c>
      <c r="N26" s="2" t="s">
        <v>167</v>
      </c>
      <c r="O26" s="2" t="s">
        <v>72</v>
      </c>
      <c r="P26" s="2" t="s">
        <v>168</v>
      </c>
      <c r="Q26" s="2" t="s">
        <v>74</v>
      </c>
    </row>
    <row r="27" spans="1:17" x14ac:dyDescent="0.25">
      <c r="F27" s="5" t="s">
        <v>153</v>
      </c>
      <c r="G27">
        <v>0.9</v>
      </c>
      <c r="H27" t="s">
        <v>154</v>
      </c>
      <c r="I27">
        <v>2.0099999999999998</v>
      </c>
      <c r="J27" s="6">
        <f>$B$24*I27</f>
        <v>72.560999999999993</v>
      </c>
      <c r="K27">
        <v>1</v>
      </c>
      <c r="L27" s="6">
        <f>MIN(1,MAX(0,($B$30*$B$35-$B$36)/G27))</f>
        <v>0.73333333333333339</v>
      </c>
      <c r="M27" s="4">
        <f t="shared" ref="M27:M37" si="1">K27*($B$33+(1-L27)*$B$32)</f>
        <v>315.73333333333329</v>
      </c>
      <c r="N27">
        <v>0.36</v>
      </c>
      <c r="O27">
        <v>0.84</v>
      </c>
      <c r="P27">
        <v>0.56000000000000005</v>
      </c>
      <c r="Q27" s="12">
        <f>I27*($C$24-0.46*$C$21)+M27*N27*O27*P27</f>
        <v>61.117605599999997</v>
      </c>
    </row>
    <row r="28" spans="1:17" x14ac:dyDescent="0.25">
      <c r="A28" s="49" t="s">
        <v>101</v>
      </c>
      <c r="B28" s="50"/>
      <c r="C28" s="50"/>
      <c r="D28" s="51"/>
      <c r="F28" s="5" t="s">
        <v>153</v>
      </c>
      <c r="G28">
        <v>0.9</v>
      </c>
      <c r="H28" t="s">
        <v>155</v>
      </c>
      <c r="I28">
        <v>2.21</v>
      </c>
      <c r="J28" s="6">
        <f t="shared" ref="J28:J37" si="2">$B$24*I28</f>
        <v>79.781000000000006</v>
      </c>
      <c r="K28">
        <v>0.64</v>
      </c>
      <c r="L28" s="6">
        <f t="shared" ref="L28:L30" si="3">MIN(1,MAX(0,($B$30*$B$35-$B$36)/G28))</f>
        <v>0.73333333333333339</v>
      </c>
      <c r="M28" s="4">
        <f t="shared" si="1"/>
        <v>202.0693333333333</v>
      </c>
      <c r="N28">
        <v>0.31</v>
      </c>
      <c r="O28">
        <v>0.84</v>
      </c>
      <c r="P28">
        <v>0.56000000000000005</v>
      </c>
      <c r="Q28" s="12">
        <f t="shared" ref="Q28:Q37" si="4">I28*($C$24-0.46*$C$21)+M28*N28*O28*P28</f>
        <v>37.877818464000001</v>
      </c>
    </row>
    <row r="29" spans="1:17" x14ac:dyDescent="0.25">
      <c r="A29" s="2" t="s">
        <v>39</v>
      </c>
      <c r="B29" s="2" t="s">
        <v>102</v>
      </c>
      <c r="C29" s="2" t="s">
        <v>103</v>
      </c>
      <c r="D29" s="2" t="s">
        <v>2</v>
      </c>
      <c r="F29" s="5" t="s">
        <v>153</v>
      </c>
      <c r="G29">
        <v>1.8</v>
      </c>
      <c r="H29" t="s">
        <v>154</v>
      </c>
      <c r="I29">
        <v>2.0099999999999998</v>
      </c>
      <c r="J29" s="6">
        <f t="shared" si="2"/>
        <v>72.560999999999993</v>
      </c>
      <c r="K29">
        <v>1</v>
      </c>
      <c r="L29" s="6">
        <f t="shared" si="3"/>
        <v>0.3666666666666667</v>
      </c>
      <c r="M29" s="4">
        <f t="shared" si="1"/>
        <v>540.86666666666667</v>
      </c>
      <c r="N29">
        <v>0.36</v>
      </c>
      <c r="O29">
        <v>0.84</v>
      </c>
      <c r="P29">
        <v>0.56000000000000005</v>
      </c>
      <c r="Q29" s="12">
        <f t="shared" si="4"/>
        <v>99.242584800000003</v>
      </c>
    </row>
    <row r="30" spans="1:17" x14ac:dyDescent="0.25">
      <c r="A30" s="23" t="s">
        <v>59</v>
      </c>
      <c r="B30">
        <v>1.1000000000000001</v>
      </c>
      <c r="C30" t="s">
        <v>48</v>
      </c>
      <c r="D30" s="19" t="s">
        <v>104</v>
      </c>
      <c r="F30" s="5" t="s">
        <v>153</v>
      </c>
      <c r="G30">
        <v>1.8</v>
      </c>
      <c r="H30" t="s">
        <v>155</v>
      </c>
      <c r="I30">
        <v>2.21</v>
      </c>
      <c r="J30" s="6">
        <f t="shared" si="2"/>
        <v>79.781000000000006</v>
      </c>
      <c r="K30">
        <v>0.64</v>
      </c>
      <c r="L30" s="6">
        <f t="shared" si="3"/>
        <v>0.3666666666666667</v>
      </c>
      <c r="M30" s="4">
        <f t="shared" si="1"/>
        <v>346.15466666666669</v>
      </c>
      <c r="N30">
        <v>0.31</v>
      </c>
      <c r="O30">
        <v>0.84</v>
      </c>
      <c r="P30">
        <v>0.56000000000000005</v>
      </c>
      <c r="Q30" s="12">
        <f t="shared" si="4"/>
        <v>58.888918111999999</v>
      </c>
    </row>
    <row r="31" spans="1:17" x14ac:dyDescent="0.25">
      <c r="A31" s="23" t="s">
        <v>61</v>
      </c>
      <c r="B31">
        <v>0.56000000000000005</v>
      </c>
      <c r="C31" t="s">
        <v>48</v>
      </c>
      <c r="D31" s="19" t="s">
        <v>89</v>
      </c>
      <c r="F31" s="5" t="s">
        <v>153</v>
      </c>
      <c r="G31">
        <v>2.4</v>
      </c>
      <c r="H31" t="s">
        <v>154</v>
      </c>
      <c r="I31">
        <v>2.0099999999999998</v>
      </c>
      <c r="J31" s="6">
        <f t="shared" si="2"/>
        <v>72.560999999999993</v>
      </c>
      <c r="K31">
        <v>1</v>
      </c>
      <c r="L31" s="6">
        <f>MIN(1,MAX(0,($B$30*$B$35-$B$36)/G31))</f>
        <v>0.27500000000000002</v>
      </c>
      <c r="M31" s="4">
        <f t="shared" si="1"/>
        <v>597.15</v>
      </c>
      <c r="N31">
        <v>0.36</v>
      </c>
      <c r="O31">
        <v>0.84</v>
      </c>
      <c r="P31">
        <v>0.56000000000000005</v>
      </c>
      <c r="Q31" s="12">
        <f t="shared" si="4"/>
        <v>108.7738296</v>
      </c>
    </row>
    <row r="32" spans="1:17" x14ac:dyDescent="0.25">
      <c r="A32" s="23" t="s">
        <v>63</v>
      </c>
      <c r="B32">
        <v>614</v>
      </c>
      <c r="C32" t="s">
        <v>73</v>
      </c>
      <c r="D32" s="19" t="s">
        <v>92</v>
      </c>
      <c r="F32" s="5" t="s">
        <v>156</v>
      </c>
      <c r="G32">
        <v>1.2</v>
      </c>
      <c r="H32" t="s">
        <v>154</v>
      </c>
      <c r="I32">
        <v>2.0099999999999998</v>
      </c>
      <c r="J32" s="6">
        <f t="shared" si="2"/>
        <v>72.560999999999993</v>
      </c>
      <c r="K32">
        <v>1</v>
      </c>
      <c r="L32" s="6">
        <f>MIN(1,MAX(0,($B$30*$B$35-$B$36)/G32))</f>
        <v>0.55000000000000004</v>
      </c>
      <c r="M32" s="4">
        <f t="shared" si="1"/>
        <v>428.29999999999995</v>
      </c>
      <c r="N32">
        <v>0.36</v>
      </c>
      <c r="O32">
        <v>0.84</v>
      </c>
      <c r="P32">
        <v>0.47</v>
      </c>
      <c r="Q32" s="12">
        <f t="shared" si="4"/>
        <v>68.523482399999992</v>
      </c>
    </row>
    <row r="33" spans="1:17" x14ac:dyDescent="0.25">
      <c r="A33" s="23" t="s">
        <v>64</v>
      </c>
      <c r="B33">
        <v>152</v>
      </c>
      <c r="C33" t="s">
        <v>73</v>
      </c>
      <c r="D33" s="19" t="s">
        <v>93</v>
      </c>
      <c r="F33" s="5" t="s">
        <v>156</v>
      </c>
      <c r="G33">
        <v>1.2</v>
      </c>
      <c r="H33" t="s">
        <v>155</v>
      </c>
      <c r="I33">
        <v>2.21</v>
      </c>
      <c r="J33" s="6">
        <f t="shared" si="2"/>
        <v>79.781000000000006</v>
      </c>
      <c r="K33">
        <v>0.64</v>
      </c>
      <c r="L33" s="6">
        <f>MIN(1,MAX(0,($B$30*$B$35-$B$36)/G33))</f>
        <v>0.55000000000000004</v>
      </c>
      <c r="M33" s="4">
        <f t="shared" si="1"/>
        <v>274.11199999999997</v>
      </c>
      <c r="N33">
        <v>0.31</v>
      </c>
      <c r="O33">
        <v>0.84</v>
      </c>
      <c r="P33">
        <v>0.47</v>
      </c>
      <c r="Q33" s="12">
        <f t="shared" si="4"/>
        <v>41.95927945599999</v>
      </c>
    </row>
    <row r="34" spans="1:17" x14ac:dyDescent="0.25">
      <c r="A34" s="23" t="s">
        <v>65</v>
      </c>
      <c r="B34">
        <v>766</v>
      </c>
      <c r="C34" t="s">
        <v>73</v>
      </c>
      <c r="D34" s="19" t="s">
        <v>94</v>
      </c>
      <c r="F34" s="5" t="s">
        <v>157</v>
      </c>
      <c r="G34">
        <v>0.9</v>
      </c>
      <c r="H34" t="s">
        <v>154</v>
      </c>
      <c r="I34">
        <v>2.0099999999999998</v>
      </c>
      <c r="J34" s="6">
        <f t="shared" si="2"/>
        <v>72.560999999999993</v>
      </c>
      <c r="K34">
        <v>1</v>
      </c>
      <c r="L34" s="6">
        <f t="shared" ref="L34:L37" si="5">MIN(1,MAX(0,($B$30*$B$35-$B$36)/G34))</f>
        <v>0.73333333333333339</v>
      </c>
      <c r="M34" s="4">
        <f t="shared" si="1"/>
        <v>315.73333333333329</v>
      </c>
      <c r="N34">
        <v>0.36</v>
      </c>
      <c r="O34">
        <v>0.84</v>
      </c>
      <c r="P34">
        <v>0.31</v>
      </c>
      <c r="Q34" s="12">
        <f t="shared" si="4"/>
        <v>37.248165599999993</v>
      </c>
    </row>
    <row r="35" spans="1:17" x14ac:dyDescent="0.25">
      <c r="A35" s="23" t="s">
        <v>66</v>
      </c>
      <c r="B35">
        <v>0.6</v>
      </c>
      <c r="C35" t="s">
        <v>67</v>
      </c>
      <c r="D35" s="19" t="s">
        <v>90</v>
      </c>
      <c r="F35" s="5" t="s">
        <v>157</v>
      </c>
      <c r="G35">
        <v>0.9</v>
      </c>
      <c r="H35" t="s">
        <v>155</v>
      </c>
      <c r="I35">
        <v>2.21</v>
      </c>
      <c r="J35" s="6">
        <f t="shared" si="2"/>
        <v>79.781000000000006</v>
      </c>
      <c r="K35">
        <v>0.64</v>
      </c>
      <c r="L35" s="6">
        <f t="shared" si="5"/>
        <v>0.73333333333333339</v>
      </c>
      <c r="M35" s="4">
        <f t="shared" si="1"/>
        <v>202.0693333333333</v>
      </c>
      <c r="N35">
        <v>0.31</v>
      </c>
      <c r="O35">
        <v>0.84</v>
      </c>
      <c r="P35">
        <v>0.31</v>
      </c>
      <c r="Q35" s="12">
        <f t="shared" si="4"/>
        <v>24.723104864</v>
      </c>
    </row>
    <row r="36" spans="1:17" x14ac:dyDescent="0.25">
      <c r="A36" s="23" t="s">
        <v>68</v>
      </c>
      <c r="B36">
        <v>0</v>
      </c>
      <c r="C36" t="s">
        <v>67</v>
      </c>
      <c r="D36" s="19" t="s">
        <v>91</v>
      </c>
      <c r="F36" s="5" t="s">
        <v>157</v>
      </c>
      <c r="G36">
        <v>1.2</v>
      </c>
      <c r="H36" t="s">
        <v>154</v>
      </c>
      <c r="I36">
        <v>2.0099999999999998</v>
      </c>
      <c r="J36" s="6">
        <f t="shared" si="2"/>
        <v>72.560999999999993</v>
      </c>
      <c r="K36">
        <v>1</v>
      </c>
      <c r="L36" s="6">
        <f t="shared" si="5"/>
        <v>0.55000000000000004</v>
      </c>
      <c r="M36" s="4">
        <f t="shared" si="1"/>
        <v>428.29999999999995</v>
      </c>
      <c r="N36">
        <v>0.36</v>
      </c>
      <c r="O36">
        <v>0.84</v>
      </c>
      <c r="P36">
        <v>0.31</v>
      </c>
      <c r="Q36" s="12">
        <f t="shared" si="4"/>
        <v>47.800615199999989</v>
      </c>
    </row>
    <row r="37" spans="1:17" x14ac:dyDescent="0.25">
      <c r="A37" s="23" t="s">
        <v>69</v>
      </c>
      <c r="B37">
        <v>0.9</v>
      </c>
      <c r="C37" t="s">
        <v>67</v>
      </c>
      <c r="D37" s="19" t="s">
        <v>95</v>
      </c>
      <c r="F37" s="9" t="s">
        <v>157</v>
      </c>
      <c r="G37" s="10">
        <v>1.2</v>
      </c>
      <c r="H37" s="10" t="s">
        <v>155</v>
      </c>
      <c r="I37" s="10">
        <v>2.21</v>
      </c>
      <c r="J37" s="13">
        <f t="shared" si="2"/>
        <v>79.781000000000006</v>
      </c>
      <c r="K37" s="10">
        <v>0.64</v>
      </c>
      <c r="L37" s="13">
        <f t="shared" si="5"/>
        <v>0.55000000000000004</v>
      </c>
      <c r="M37" s="11">
        <f t="shared" si="1"/>
        <v>274.11199999999997</v>
      </c>
      <c r="N37" s="10">
        <v>0.31</v>
      </c>
      <c r="O37" s="10">
        <v>0.84</v>
      </c>
      <c r="P37" s="10">
        <v>0.31</v>
      </c>
      <c r="Q37" s="14">
        <f t="shared" si="4"/>
        <v>30.538677087999993</v>
      </c>
    </row>
    <row r="38" spans="1:17" x14ac:dyDescent="0.25">
      <c r="A38" s="23" t="s">
        <v>70</v>
      </c>
      <c r="B38">
        <v>0.73</v>
      </c>
      <c r="C38" t="s">
        <v>67</v>
      </c>
      <c r="D38" s="19" t="s">
        <v>98</v>
      </c>
    </row>
    <row r="39" spans="1:17" x14ac:dyDescent="0.25">
      <c r="A39" s="23" t="s">
        <v>71</v>
      </c>
      <c r="B39" s="6">
        <f>0.64*(B33+(1-B38)*B32)</f>
        <v>203.3792</v>
      </c>
      <c r="C39" t="s">
        <v>73</v>
      </c>
      <c r="D39" s="19" t="s">
        <v>97</v>
      </c>
    </row>
    <row r="40" spans="1:17" x14ac:dyDescent="0.25">
      <c r="A40" s="23" t="s">
        <v>72</v>
      </c>
      <c r="B40">
        <f>1+0.5*(0.68-1)</f>
        <v>0.84000000000000008</v>
      </c>
      <c r="C40" t="s">
        <v>48</v>
      </c>
      <c r="D40" s="19" t="s">
        <v>86</v>
      </c>
      <c r="F40" s="46" t="s">
        <v>158</v>
      </c>
      <c r="G40" s="47"/>
      <c r="H40" s="47"/>
      <c r="I40" s="47"/>
      <c r="J40" s="47"/>
      <c r="K40" s="48"/>
    </row>
    <row r="41" spans="1:17" x14ac:dyDescent="0.25">
      <c r="A41" s="23" t="s">
        <v>74</v>
      </c>
      <c r="B41" s="6">
        <f>2.21*(C24-0.46*C21)+B39*0.31*B40*B31</f>
        <v>38.068828460800006</v>
      </c>
      <c r="C41" t="s">
        <v>73</v>
      </c>
      <c r="D41" s="19" t="s">
        <v>96</v>
      </c>
      <c r="F41" s="2" t="s">
        <v>0</v>
      </c>
      <c r="G41" s="2" t="s">
        <v>137</v>
      </c>
      <c r="H41" s="2" t="s">
        <v>74</v>
      </c>
      <c r="I41" s="2" t="s">
        <v>159</v>
      </c>
      <c r="J41" s="2" t="s">
        <v>160</v>
      </c>
      <c r="K41" s="2" t="s">
        <v>161</v>
      </c>
    </row>
    <row r="42" spans="1:17" x14ac:dyDescent="0.25">
      <c r="A42" s="23" t="s">
        <v>75</v>
      </c>
      <c r="B42" s="6">
        <f>G11*1.4</f>
        <v>499.21200000000005</v>
      </c>
      <c r="C42" t="s">
        <v>76</v>
      </c>
      <c r="D42" s="19" t="s">
        <v>83</v>
      </c>
      <c r="F42" s="5" t="s">
        <v>3</v>
      </c>
      <c r="G42" s="6">
        <f>H17</f>
        <v>6.4980000000000002</v>
      </c>
      <c r="H42" s="6">
        <f>M17</f>
        <v>1.9560599999999997</v>
      </c>
      <c r="I42">
        <f>G9</f>
        <v>195.3</v>
      </c>
      <c r="J42" s="4">
        <f>G42*$I42</f>
        <v>1269.0594000000001</v>
      </c>
      <c r="K42" s="7">
        <f>H42*$I42</f>
        <v>382.01851799999997</v>
      </c>
    </row>
    <row r="43" spans="1:17" x14ac:dyDescent="0.25">
      <c r="A43" s="23" t="s">
        <v>80</v>
      </c>
      <c r="B43">
        <f>B42*B26</f>
        <v>40.935384000000006</v>
      </c>
      <c r="C43" t="s">
        <v>81</v>
      </c>
      <c r="D43" s="19" t="s">
        <v>99</v>
      </c>
      <c r="F43" s="5" t="s">
        <v>143</v>
      </c>
      <c r="G43" s="6">
        <f>H18</f>
        <v>18.411000000000001</v>
      </c>
      <c r="H43" s="6">
        <f t="shared" ref="H43:H45" si="6">M18</f>
        <v>6.5769600000000006</v>
      </c>
      <c r="I43">
        <f>G7</f>
        <v>108.5</v>
      </c>
      <c r="J43" s="4">
        <f t="shared" ref="J43:J58" si="7">G43*$I43</f>
        <v>1997.5935000000002</v>
      </c>
      <c r="K43" s="7">
        <f t="shared" ref="K43:K58" si="8">H43*$I43</f>
        <v>713.60016000000007</v>
      </c>
    </row>
    <row r="44" spans="1:17" x14ac:dyDescent="0.25">
      <c r="A44" s="23" t="s">
        <v>82</v>
      </c>
      <c r="B44">
        <f>B42*C26</f>
        <v>16.473996000000003</v>
      </c>
      <c r="C44" t="s">
        <v>81</v>
      </c>
      <c r="D44" s="19" t="s">
        <v>100</v>
      </c>
      <c r="F44" s="5" t="s">
        <v>144</v>
      </c>
      <c r="G44" s="6">
        <f>H19</f>
        <v>18.411000000000001</v>
      </c>
      <c r="H44" s="6">
        <f t="shared" si="6"/>
        <v>2.3949599999999998</v>
      </c>
      <c r="I44">
        <f>G8</f>
        <v>35</v>
      </c>
      <c r="J44" s="4">
        <f t="shared" si="7"/>
        <v>644.38499999999999</v>
      </c>
      <c r="K44" s="7">
        <f t="shared" si="8"/>
        <v>83.823599999999985</v>
      </c>
    </row>
    <row r="45" spans="1:17" x14ac:dyDescent="0.25">
      <c r="A45" s="23" t="s">
        <v>84</v>
      </c>
      <c r="B45">
        <v>3</v>
      </c>
      <c r="C45" t="s">
        <v>48</v>
      </c>
      <c r="D45" s="19" t="s">
        <v>85</v>
      </c>
      <c r="F45" s="5" t="s">
        <v>145</v>
      </c>
      <c r="G45" s="6">
        <f>H20</f>
        <v>83.03</v>
      </c>
      <c r="H45" s="6">
        <f t="shared" si="6"/>
        <v>29.660799999999998</v>
      </c>
      <c r="I45">
        <f>G5</f>
        <v>3.8</v>
      </c>
      <c r="J45" s="4">
        <f t="shared" si="7"/>
        <v>315.51400000000001</v>
      </c>
      <c r="K45" s="7">
        <f t="shared" si="8"/>
        <v>112.71103999999998</v>
      </c>
    </row>
    <row r="46" spans="1:17" x14ac:dyDescent="0.25">
      <c r="A46" s="23" t="s">
        <v>87</v>
      </c>
      <c r="B46">
        <f>B45+1</f>
        <v>4</v>
      </c>
      <c r="C46" t="s">
        <v>48</v>
      </c>
      <c r="D46" s="19" t="s">
        <v>88</v>
      </c>
      <c r="F46" s="5" t="s">
        <v>7</v>
      </c>
      <c r="G46" s="6">
        <f>H21</f>
        <v>30.684999999999999</v>
      </c>
      <c r="H46" s="6"/>
      <c r="I46">
        <f>G10</f>
        <v>67.2</v>
      </c>
      <c r="J46" s="4">
        <f t="shared" si="7"/>
        <v>2062.0320000000002</v>
      </c>
      <c r="K46" s="7">
        <f t="shared" si="8"/>
        <v>0</v>
      </c>
    </row>
    <row r="47" spans="1:17" x14ac:dyDescent="0.25">
      <c r="A47" s="23" t="s">
        <v>105</v>
      </c>
      <c r="B47" s="6">
        <f>0.15*G9+3.5*(B45+1)</f>
        <v>43.295000000000002</v>
      </c>
      <c r="C47" t="s">
        <v>81</v>
      </c>
      <c r="D47" s="19" t="s">
        <v>106</v>
      </c>
      <c r="F47" s="5" t="s">
        <v>6</v>
      </c>
      <c r="H47" s="6">
        <f>M22</f>
        <v>-2.34</v>
      </c>
      <c r="I47">
        <f>G9</f>
        <v>195.3</v>
      </c>
      <c r="J47" s="4">
        <f t="shared" si="7"/>
        <v>0</v>
      </c>
      <c r="K47" s="7">
        <f t="shared" si="8"/>
        <v>-457.00200000000001</v>
      </c>
    </row>
    <row r="48" spans="1:17" x14ac:dyDescent="0.25">
      <c r="A48" s="23" t="s">
        <v>107</v>
      </c>
      <c r="B48" s="6">
        <f>B47+B43</f>
        <v>84.230384000000015</v>
      </c>
      <c r="C48" t="s">
        <v>81</v>
      </c>
      <c r="D48" s="19" t="s">
        <v>109</v>
      </c>
      <c r="F48" s="5" t="s">
        <v>169</v>
      </c>
      <c r="G48" s="6">
        <f>J27</f>
        <v>72.560999999999993</v>
      </c>
      <c r="H48" s="8">
        <f>Q27</f>
        <v>61.117605599999997</v>
      </c>
      <c r="I48">
        <v>0.4</v>
      </c>
      <c r="J48" s="4">
        <f t="shared" si="7"/>
        <v>29.0244</v>
      </c>
      <c r="K48" s="7">
        <f t="shared" si="8"/>
        <v>24.447042240000002</v>
      </c>
    </row>
    <row r="49" spans="1:11" x14ac:dyDescent="0.25">
      <c r="A49" s="23" t="s">
        <v>108</v>
      </c>
      <c r="B49" s="6">
        <f>B47+B44</f>
        <v>59.768996000000001</v>
      </c>
      <c r="C49" t="s">
        <v>81</v>
      </c>
      <c r="D49" s="19" t="s">
        <v>110</v>
      </c>
      <c r="F49" s="5" t="s">
        <v>170</v>
      </c>
      <c r="G49" s="6">
        <f t="shared" ref="G49:G58" si="9">J28</f>
        <v>79.781000000000006</v>
      </c>
      <c r="H49" s="8">
        <f t="shared" ref="H49:H58" si="10">Q28</f>
        <v>37.877818464000001</v>
      </c>
      <c r="I49">
        <v>0.4</v>
      </c>
      <c r="J49" s="4">
        <f t="shared" si="7"/>
        <v>31.912400000000005</v>
      </c>
      <c r="K49" s="7">
        <f t="shared" si="8"/>
        <v>15.151127385600001</v>
      </c>
    </row>
    <row r="50" spans="1:11" x14ac:dyDescent="0.25">
      <c r="A50" s="23" t="s">
        <v>111</v>
      </c>
      <c r="B50">
        <v>1.23</v>
      </c>
      <c r="C50" t="s">
        <v>123</v>
      </c>
      <c r="D50" s="19" t="s">
        <v>112</v>
      </c>
      <c r="F50" s="5" t="s">
        <v>171</v>
      </c>
      <c r="G50" s="6">
        <f t="shared" si="9"/>
        <v>72.560999999999993</v>
      </c>
      <c r="H50" s="8">
        <f t="shared" si="10"/>
        <v>99.242584800000003</v>
      </c>
      <c r="I50">
        <v>1.1000000000000001</v>
      </c>
      <c r="J50" s="4">
        <f t="shared" si="7"/>
        <v>79.817099999999996</v>
      </c>
      <c r="K50" s="7">
        <f t="shared" si="8"/>
        <v>109.16684328000001</v>
      </c>
    </row>
    <row r="51" spans="1:11" x14ac:dyDescent="0.25">
      <c r="A51" s="23" t="s">
        <v>113</v>
      </c>
      <c r="B51" s="4">
        <f>B50*B48*B24</f>
        <v>3740.0817407520008</v>
      </c>
      <c r="C51" t="s">
        <v>115</v>
      </c>
      <c r="D51" s="19" t="s">
        <v>116</v>
      </c>
      <c r="F51" s="5" t="s">
        <v>172</v>
      </c>
      <c r="G51" s="6">
        <f t="shared" si="9"/>
        <v>79.781000000000006</v>
      </c>
      <c r="H51" s="8">
        <f t="shared" si="10"/>
        <v>58.888918111999999</v>
      </c>
      <c r="I51">
        <v>1.1000000000000001</v>
      </c>
      <c r="J51" s="4">
        <f t="shared" si="7"/>
        <v>87.759100000000018</v>
      </c>
      <c r="K51" s="7">
        <f t="shared" si="8"/>
        <v>64.77780992320001</v>
      </c>
    </row>
    <row r="52" spans="1:11" x14ac:dyDescent="0.25">
      <c r="A52" s="23" t="s">
        <v>114</v>
      </c>
      <c r="B52" s="4">
        <f>B50*B49*C24</f>
        <v>580.77533413200001</v>
      </c>
      <c r="C52" t="s">
        <v>115</v>
      </c>
      <c r="D52" s="19" t="s">
        <v>117</v>
      </c>
      <c r="F52" s="5" t="s">
        <v>173</v>
      </c>
      <c r="G52" s="6">
        <f t="shared" si="9"/>
        <v>72.560999999999993</v>
      </c>
      <c r="H52" s="8">
        <f t="shared" si="10"/>
        <v>108.7738296</v>
      </c>
      <c r="I52">
        <v>4.3</v>
      </c>
      <c r="J52" s="4">
        <f t="shared" si="7"/>
        <v>312.01229999999998</v>
      </c>
      <c r="K52" s="7">
        <f t="shared" si="8"/>
        <v>467.72746727999998</v>
      </c>
    </row>
    <row r="53" spans="1:11" x14ac:dyDescent="0.25">
      <c r="A53" s="23" t="s">
        <v>118</v>
      </c>
      <c r="B53" s="4">
        <f>136+2.2*G9+22*B46</f>
        <v>653.66000000000008</v>
      </c>
      <c r="C53" t="s">
        <v>115</v>
      </c>
      <c r="D53" s="19" t="s">
        <v>120</v>
      </c>
      <c r="F53" s="5" t="s">
        <v>174</v>
      </c>
      <c r="G53" s="6">
        <f t="shared" si="9"/>
        <v>72.560999999999993</v>
      </c>
      <c r="H53" s="8">
        <f t="shared" si="10"/>
        <v>68.523482399999992</v>
      </c>
      <c r="I53">
        <v>0.7</v>
      </c>
      <c r="J53" s="4">
        <f t="shared" si="7"/>
        <v>50.792699999999989</v>
      </c>
      <c r="K53" s="7">
        <f t="shared" si="8"/>
        <v>47.966437679999991</v>
      </c>
    </row>
    <row r="54" spans="1:11" x14ac:dyDescent="0.25">
      <c r="A54" s="23" t="s">
        <v>119</v>
      </c>
      <c r="B54" s="4">
        <f>20+0.22*G9+12*B46</f>
        <v>110.96600000000001</v>
      </c>
      <c r="C54" t="s">
        <v>115</v>
      </c>
      <c r="D54" s="19" t="s">
        <v>121</v>
      </c>
      <c r="F54" s="5" t="s">
        <v>175</v>
      </c>
      <c r="G54" s="6">
        <f t="shared" si="9"/>
        <v>79.781000000000006</v>
      </c>
      <c r="H54" s="8">
        <f t="shared" si="10"/>
        <v>41.95927945599999</v>
      </c>
      <c r="I54">
        <v>0.7</v>
      </c>
      <c r="J54" s="4">
        <f t="shared" si="7"/>
        <v>55.846699999999998</v>
      </c>
      <c r="K54" s="7">
        <f t="shared" si="8"/>
        <v>29.37149561919999</v>
      </c>
    </row>
    <row r="55" spans="1:11" x14ac:dyDescent="0.25">
      <c r="A55" s="23" t="s">
        <v>122</v>
      </c>
      <c r="B55">
        <v>3010</v>
      </c>
      <c r="C55" t="s">
        <v>124</v>
      </c>
      <c r="D55" s="19" t="s">
        <v>125</v>
      </c>
      <c r="F55" s="5" t="s">
        <v>176</v>
      </c>
      <c r="G55" s="6">
        <f t="shared" si="9"/>
        <v>72.560999999999993</v>
      </c>
      <c r="H55" s="8">
        <f t="shared" si="10"/>
        <v>37.248165599999993</v>
      </c>
      <c r="I55">
        <v>0.4</v>
      </c>
      <c r="J55" s="4">
        <f t="shared" si="7"/>
        <v>29.0244</v>
      </c>
      <c r="K55" s="7">
        <f t="shared" si="8"/>
        <v>14.899266239999998</v>
      </c>
    </row>
    <row r="56" spans="1:11" x14ac:dyDescent="0.25">
      <c r="A56" s="23" t="s">
        <v>126</v>
      </c>
      <c r="B56">
        <v>1.2</v>
      </c>
      <c r="C56" t="s">
        <v>124</v>
      </c>
      <c r="D56" s="19" t="s">
        <v>127</v>
      </c>
      <c r="F56" s="5" t="s">
        <v>177</v>
      </c>
      <c r="G56" s="6">
        <f t="shared" si="9"/>
        <v>79.781000000000006</v>
      </c>
      <c r="H56" s="8">
        <f t="shared" si="10"/>
        <v>24.723104864</v>
      </c>
      <c r="I56">
        <v>0.4</v>
      </c>
      <c r="J56" s="4">
        <f t="shared" si="7"/>
        <v>31.912400000000005</v>
      </c>
      <c r="K56" s="7">
        <f t="shared" si="8"/>
        <v>9.8892419456000002</v>
      </c>
    </row>
    <row r="57" spans="1:11" x14ac:dyDescent="0.25">
      <c r="A57" s="23" t="s">
        <v>128</v>
      </c>
      <c r="B57">
        <v>0.16</v>
      </c>
      <c r="C57" t="s">
        <v>130</v>
      </c>
      <c r="D57" s="19" t="s">
        <v>131</v>
      </c>
      <c r="F57" s="5" t="s">
        <v>178</v>
      </c>
      <c r="G57" s="6">
        <f t="shared" si="9"/>
        <v>72.560999999999993</v>
      </c>
      <c r="H57" s="8">
        <f t="shared" si="10"/>
        <v>47.800615199999989</v>
      </c>
      <c r="I57">
        <v>2.2000000000000002</v>
      </c>
      <c r="J57" s="4">
        <f t="shared" si="7"/>
        <v>159.63419999999999</v>
      </c>
      <c r="K57" s="7">
        <f t="shared" si="8"/>
        <v>105.16135343999998</v>
      </c>
    </row>
    <row r="58" spans="1:11" x14ac:dyDescent="0.25">
      <c r="A58" s="23" t="s">
        <v>129</v>
      </c>
      <c r="B58">
        <v>0.27</v>
      </c>
      <c r="C58" t="s">
        <v>130</v>
      </c>
      <c r="D58" s="19" t="s">
        <v>132</v>
      </c>
      <c r="F58" s="5" t="s">
        <v>179</v>
      </c>
      <c r="G58" s="6">
        <f t="shared" si="9"/>
        <v>79.781000000000006</v>
      </c>
      <c r="H58" s="8">
        <f t="shared" si="10"/>
        <v>30.538677087999993</v>
      </c>
      <c r="I58">
        <v>2.2000000000000002</v>
      </c>
      <c r="J58" s="4">
        <f t="shared" si="7"/>
        <v>175.51820000000004</v>
      </c>
      <c r="K58" s="7">
        <f t="shared" si="8"/>
        <v>67.185089593599983</v>
      </c>
    </row>
    <row r="59" spans="1:11" x14ac:dyDescent="0.25">
      <c r="A59" s="23" t="s">
        <v>133</v>
      </c>
      <c r="B59" s="4">
        <f>B47*B55*C25</f>
        <v>651.58975000000009</v>
      </c>
      <c r="C59" t="s">
        <v>115</v>
      </c>
      <c r="D59" s="19" t="s">
        <v>134</v>
      </c>
      <c r="F59" s="5"/>
      <c r="G59" s="6"/>
      <c r="H59" s="8"/>
      <c r="J59" s="4"/>
      <c r="K59" s="7"/>
    </row>
    <row r="60" spans="1:11" x14ac:dyDescent="0.25">
      <c r="A60" s="24" t="s">
        <v>194</v>
      </c>
      <c r="B60" s="11">
        <f>B59+B54</f>
        <v>762.5557500000001</v>
      </c>
      <c r="C60" s="10" t="s">
        <v>115</v>
      </c>
      <c r="D60" s="25" t="s">
        <v>195</v>
      </c>
      <c r="F60" s="30" t="s">
        <v>180</v>
      </c>
      <c r="G60" s="31"/>
      <c r="H60" s="31"/>
      <c r="I60" s="31"/>
      <c r="J60" s="32">
        <f>SUM(J42:J58)</f>
        <v>7331.837800000003</v>
      </c>
      <c r="K60" s="33">
        <f>SUM(K42:K58)</f>
        <v>1790.8944926271997</v>
      </c>
    </row>
    <row r="62" spans="1:11" x14ac:dyDescent="0.25">
      <c r="F62" s="49" t="s">
        <v>182</v>
      </c>
      <c r="G62" s="50"/>
      <c r="H62" s="51"/>
    </row>
    <row r="63" spans="1:11" x14ac:dyDescent="0.25">
      <c r="F63" s="2" t="s">
        <v>183</v>
      </c>
      <c r="G63" s="2" t="s">
        <v>190</v>
      </c>
      <c r="H63" s="2" t="s">
        <v>191</v>
      </c>
    </row>
    <row r="64" spans="1:11" x14ac:dyDescent="0.25">
      <c r="F64" s="39" t="s">
        <v>184</v>
      </c>
      <c r="G64" s="36">
        <f>J60</f>
        <v>7331.837800000003</v>
      </c>
      <c r="H64" s="40">
        <f>K60</f>
        <v>1790.8944926271997</v>
      </c>
    </row>
    <row r="65" spans="6:10" x14ac:dyDescent="0.25">
      <c r="F65" s="15" t="s">
        <v>185</v>
      </c>
      <c r="G65" s="37">
        <f>B51</f>
        <v>3740.0817407520008</v>
      </c>
      <c r="H65" s="41">
        <f>B52</f>
        <v>580.77533413200001</v>
      </c>
    </row>
    <row r="66" spans="6:10" x14ac:dyDescent="0.25">
      <c r="F66" s="20" t="s">
        <v>186</v>
      </c>
      <c r="G66" s="21" t="s">
        <v>48</v>
      </c>
      <c r="H66" s="42">
        <f>B53</f>
        <v>653.66000000000008</v>
      </c>
    </row>
    <row r="67" spans="6:10" x14ac:dyDescent="0.25">
      <c r="F67" s="39" t="s">
        <v>187</v>
      </c>
      <c r="G67" s="36">
        <f>G64+G65</f>
        <v>11071.919540752004</v>
      </c>
      <c r="H67" s="40">
        <f>H64+H65+H66</f>
        <v>3025.3298267591999</v>
      </c>
    </row>
    <row r="68" spans="6:10" x14ac:dyDescent="0.25">
      <c r="F68" s="20" t="s">
        <v>188</v>
      </c>
      <c r="G68" s="38">
        <f>G67*B57</f>
        <v>1771.5071265203205</v>
      </c>
      <c r="H68" s="42">
        <f>H67*B58</f>
        <v>816.83905322498401</v>
      </c>
    </row>
    <row r="69" spans="6:10" x14ac:dyDescent="0.25">
      <c r="F69" s="43" t="s">
        <v>189</v>
      </c>
      <c r="G69" s="44">
        <f>G67+G68</f>
        <v>12843.426667272324</v>
      </c>
      <c r="H69" s="45">
        <f>H67+H68</f>
        <v>3842.1688799841841</v>
      </c>
      <c r="I69" t="s">
        <v>197</v>
      </c>
      <c r="J69">
        <f>H69/H70</f>
        <v>0.83439710052702554</v>
      </c>
    </row>
    <row r="70" spans="6:10" x14ac:dyDescent="0.25">
      <c r="F70" s="43" t="s">
        <v>196</v>
      </c>
      <c r="G70" s="44" t="s">
        <v>48</v>
      </c>
      <c r="H70" s="45">
        <f>H69+B60</f>
        <v>4604.7246299841845</v>
      </c>
    </row>
    <row r="72" spans="6:10" x14ac:dyDescent="0.25">
      <c r="F72" t="s">
        <v>192</v>
      </c>
      <c r="G72" t="s">
        <v>193</v>
      </c>
    </row>
    <row r="73" spans="6:10" x14ac:dyDescent="0.25">
      <c r="F73">
        <v>-16.100000000000001</v>
      </c>
      <c r="G73" s="4">
        <f t="shared" ref="G73:G107" si="11">12843/36.1*(20-F73)</f>
        <v>12843</v>
      </c>
    </row>
    <row r="74" spans="6:10" x14ac:dyDescent="0.25">
      <c r="F74">
        <v>-15</v>
      </c>
      <c r="G74" s="4">
        <f t="shared" si="11"/>
        <v>12451.662049861494</v>
      </c>
    </row>
    <row r="75" spans="6:10" x14ac:dyDescent="0.25">
      <c r="F75">
        <v>-14</v>
      </c>
      <c r="G75" s="4">
        <f t="shared" si="11"/>
        <v>12095.90027700831</v>
      </c>
    </row>
    <row r="76" spans="6:10" x14ac:dyDescent="0.25">
      <c r="F76">
        <v>-13</v>
      </c>
      <c r="G76" s="4">
        <f t="shared" si="11"/>
        <v>11740.138504155124</v>
      </c>
    </row>
    <row r="77" spans="6:10" x14ac:dyDescent="0.25">
      <c r="F77">
        <v>-12</v>
      </c>
      <c r="G77" s="4">
        <f t="shared" si="11"/>
        <v>11384.376731301938</v>
      </c>
    </row>
    <row r="78" spans="6:10" x14ac:dyDescent="0.25">
      <c r="F78">
        <v>-11</v>
      </c>
      <c r="G78" s="4">
        <f t="shared" si="11"/>
        <v>11028.614958448752</v>
      </c>
    </row>
    <row r="79" spans="6:10" x14ac:dyDescent="0.25">
      <c r="F79">
        <v>-10</v>
      </c>
      <c r="G79" s="4">
        <f t="shared" si="11"/>
        <v>10672.853185595566</v>
      </c>
    </row>
    <row r="80" spans="6:10" x14ac:dyDescent="0.25">
      <c r="F80">
        <v>-9</v>
      </c>
      <c r="G80" s="4">
        <f t="shared" si="11"/>
        <v>10317.091412742382</v>
      </c>
    </row>
    <row r="81" spans="6:7" x14ac:dyDescent="0.25">
      <c r="F81">
        <v>-8</v>
      </c>
      <c r="G81" s="4">
        <f t="shared" si="11"/>
        <v>9961.3296398891962</v>
      </c>
    </row>
    <row r="82" spans="6:7" x14ac:dyDescent="0.25">
      <c r="F82">
        <v>-7</v>
      </c>
      <c r="G82" s="4">
        <f t="shared" si="11"/>
        <v>9605.5678670360103</v>
      </c>
    </row>
    <row r="83" spans="6:7" x14ac:dyDescent="0.25">
      <c r="F83">
        <v>-6</v>
      </c>
      <c r="G83" s="4">
        <f t="shared" si="11"/>
        <v>9249.8060941828244</v>
      </c>
    </row>
    <row r="84" spans="6:7" x14ac:dyDescent="0.25">
      <c r="F84">
        <v>-5</v>
      </c>
      <c r="G84" s="4">
        <f t="shared" si="11"/>
        <v>8894.0443213296385</v>
      </c>
    </row>
    <row r="85" spans="6:7" x14ac:dyDescent="0.25">
      <c r="F85">
        <v>-4</v>
      </c>
      <c r="G85" s="4">
        <f t="shared" si="11"/>
        <v>8538.2825484764544</v>
      </c>
    </row>
    <row r="86" spans="6:7" x14ac:dyDescent="0.25">
      <c r="F86">
        <v>-3</v>
      </c>
      <c r="G86" s="4">
        <f t="shared" si="11"/>
        <v>8182.5207756232676</v>
      </c>
    </row>
    <row r="87" spans="6:7" x14ac:dyDescent="0.25">
      <c r="F87">
        <v>-2</v>
      </c>
      <c r="G87" s="4">
        <f t="shared" si="11"/>
        <v>7826.7590027700826</v>
      </c>
    </row>
    <row r="88" spans="6:7" x14ac:dyDescent="0.25">
      <c r="F88">
        <v>-1</v>
      </c>
      <c r="G88" s="4">
        <f t="shared" si="11"/>
        <v>7470.9972299168967</v>
      </c>
    </row>
    <row r="89" spans="6:7" x14ac:dyDescent="0.25">
      <c r="F89">
        <v>0</v>
      </c>
      <c r="G89" s="4">
        <f t="shared" si="11"/>
        <v>7115.2354570637108</v>
      </c>
    </row>
    <row r="90" spans="6:7" x14ac:dyDescent="0.25">
      <c r="F90">
        <v>1</v>
      </c>
      <c r="G90" s="4">
        <f t="shared" si="11"/>
        <v>6759.4736842105258</v>
      </c>
    </row>
    <row r="91" spans="6:7" x14ac:dyDescent="0.25">
      <c r="F91">
        <v>2</v>
      </c>
      <c r="G91" s="4">
        <f t="shared" si="11"/>
        <v>6403.7119113573399</v>
      </c>
    </row>
    <row r="92" spans="6:7" x14ac:dyDescent="0.25">
      <c r="F92">
        <v>3</v>
      </c>
      <c r="G92" s="4">
        <f t="shared" si="11"/>
        <v>6047.9501385041549</v>
      </c>
    </row>
    <row r="93" spans="6:7" x14ac:dyDescent="0.25">
      <c r="F93">
        <v>4</v>
      </c>
      <c r="G93" s="4">
        <f t="shared" si="11"/>
        <v>5692.188365650969</v>
      </c>
    </row>
    <row r="94" spans="6:7" x14ac:dyDescent="0.25">
      <c r="F94">
        <v>5</v>
      </c>
      <c r="G94" s="4">
        <f t="shared" si="11"/>
        <v>5336.4265927977831</v>
      </c>
    </row>
    <row r="95" spans="6:7" x14ac:dyDescent="0.25">
      <c r="F95">
        <v>6</v>
      </c>
      <c r="G95" s="4">
        <f t="shared" si="11"/>
        <v>4980.6648199445981</v>
      </c>
    </row>
    <row r="96" spans="6:7" x14ac:dyDescent="0.25">
      <c r="F96">
        <v>7</v>
      </c>
      <c r="G96" s="4">
        <f t="shared" si="11"/>
        <v>4624.9030470914122</v>
      </c>
    </row>
    <row r="97" spans="6:8" x14ac:dyDescent="0.25">
      <c r="F97">
        <v>8</v>
      </c>
      <c r="G97" s="4">
        <f t="shared" si="11"/>
        <v>4269.1412742382272</v>
      </c>
    </row>
    <row r="98" spans="6:8" x14ac:dyDescent="0.25">
      <c r="F98">
        <v>9</v>
      </c>
      <c r="G98" s="4">
        <f t="shared" si="11"/>
        <v>3913.3795013850413</v>
      </c>
    </row>
    <row r="99" spans="6:8" x14ac:dyDescent="0.25">
      <c r="F99">
        <v>10</v>
      </c>
      <c r="G99" s="4">
        <f t="shared" si="11"/>
        <v>3557.6177285318554</v>
      </c>
    </row>
    <row r="100" spans="6:8" x14ac:dyDescent="0.25">
      <c r="F100">
        <v>11</v>
      </c>
      <c r="G100" s="4">
        <f t="shared" si="11"/>
        <v>3201.8559556786699</v>
      </c>
      <c r="H100" t="s">
        <v>198</v>
      </c>
    </row>
    <row r="101" spans="6:8" x14ac:dyDescent="0.25">
      <c r="F101">
        <v>12</v>
      </c>
      <c r="G101" s="4">
        <f t="shared" si="11"/>
        <v>2846.0941828254845</v>
      </c>
    </row>
    <row r="102" spans="6:8" x14ac:dyDescent="0.25">
      <c r="F102">
        <v>13</v>
      </c>
      <c r="G102" s="4">
        <f t="shared" si="11"/>
        <v>2490.332409972299</v>
      </c>
    </row>
    <row r="103" spans="6:8" x14ac:dyDescent="0.25">
      <c r="F103">
        <v>14</v>
      </c>
      <c r="G103" s="4">
        <f t="shared" si="11"/>
        <v>2134.5706371191136</v>
      </c>
    </row>
    <row r="104" spans="6:8" x14ac:dyDescent="0.25">
      <c r="F104">
        <v>15</v>
      </c>
      <c r="G104" s="4">
        <f t="shared" si="11"/>
        <v>1778.8088642659277</v>
      </c>
    </row>
    <row r="105" spans="6:8" x14ac:dyDescent="0.25">
      <c r="F105">
        <v>16</v>
      </c>
      <c r="G105" s="4">
        <f t="shared" si="11"/>
        <v>1423.0470914127422</v>
      </c>
    </row>
    <row r="106" spans="6:8" x14ac:dyDescent="0.25">
      <c r="F106">
        <v>17</v>
      </c>
      <c r="G106" s="4">
        <f t="shared" si="11"/>
        <v>1067.2853185595568</v>
      </c>
    </row>
    <row r="107" spans="6:8" x14ac:dyDescent="0.25">
      <c r="F107">
        <v>18</v>
      </c>
      <c r="G107" s="4">
        <f t="shared" si="11"/>
        <v>711.52354570637112</v>
      </c>
    </row>
    <row r="108" spans="6:8" x14ac:dyDescent="0.25">
      <c r="F108">
        <v>19</v>
      </c>
      <c r="G108" s="4">
        <f>12843/36.1*(20-F108)</f>
        <v>355.76177285318556</v>
      </c>
    </row>
    <row r="109" spans="6:8" x14ac:dyDescent="0.25">
      <c r="F109">
        <v>20</v>
      </c>
      <c r="G109">
        <v>0</v>
      </c>
    </row>
    <row r="110" spans="6:8" x14ac:dyDescent="0.25">
      <c r="F110">
        <v>21</v>
      </c>
      <c r="G110">
        <v>0</v>
      </c>
    </row>
    <row r="111" spans="6:8" x14ac:dyDescent="0.25">
      <c r="F111">
        <v>22</v>
      </c>
      <c r="G111">
        <v>0</v>
      </c>
    </row>
    <row r="112" spans="6:8" x14ac:dyDescent="0.25">
      <c r="F112">
        <v>23</v>
      </c>
      <c r="G112">
        <v>0</v>
      </c>
    </row>
    <row r="113" spans="6:7" x14ac:dyDescent="0.25">
      <c r="F113">
        <v>24</v>
      </c>
      <c r="G113" s="4">
        <f t="shared" ref="G113:G120" si="12">4605/7.9*(F113-24)</f>
        <v>0</v>
      </c>
    </row>
    <row r="114" spans="6:7" x14ac:dyDescent="0.25">
      <c r="F114">
        <v>25</v>
      </c>
      <c r="G114" s="4">
        <f t="shared" si="12"/>
        <v>582.91139240506322</v>
      </c>
    </row>
    <row r="115" spans="6:7" x14ac:dyDescent="0.25">
      <c r="F115">
        <v>26</v>
      </c>
      <c r="G115" s="4">
        <f t="shared" si="12"/>
        <v>1165.8227848101264</v>
      </c>
    </row>
    <row r="116" spans="6:7" x14ac:dyDescent="0.25">
      <c r="F116">
        <v>27</v>
      </c>
      <c r="G116" s="4">
        <f t="shared" si="12"/>
        <v>1748.7341772151897</v>
      </c>
    </row>
    <row r="117" spans="6:7" x14ac:dyDescent="0.25">
      <c r="F117">
        <v>28</v>
      </c>
      <c r="G117" s="4">
        <f t="shared" si="12"/>
        <v>2331.6455696202529</v>
      </c>
    </row>
    <row r="118" spans="6:7" x14ac:dyDescent="0.25">
      <c r="F118">
        <v>29</v>
      </c>
      <c r="G118" s="4">
        <f t="shared" si="12"/>
        <v>2914.5569620253164</v>
      </c>
    </row>
    <row r="119" spans="6:7" x14ac:dyDescent="0.25">
      <c r="F119">
        <v>30</v>
      </c>
      <c r="G119" s="4">
        <f t="shared" si="12"/>
        <v>3497.4683544303793</v>
      </c>
    </row>
    <row r="120" spans="6:7" x14ac:dyDescent="0.25">
      <c r="F120">
        <v>31</v>
      </c>
      <c r="G120" s="4">
        <f t="shared" si="12"/>
        <v>4080.3797468354423</v>
      </c>
    </row>
    <row r="121" spans="6:7" x14ac:dyDescent="0.25">
      <c r="F121">
        <v>31.9</v>
      </c>
      <c r="G121" s="4">
        <f>4605/7.9*(F121-24)</f>
        <v>4604.9999999999991</v>
      </c>
    </row>
    <row r="122" spans="6:7" x14ac:dyDescent="0.25">
      <c r="F122">
        <v>35</v>
      </c>
      <c r="G122" s="4">
        <f>4605/7.9*(F122-24)</f>
        <v>6412.0253164556952</v>
      </c>
    </row>
  </sheetData>
  <mergeCells count="18">
    <mergeCell ref="F1:H1"/>
    <mergeCell ref="A1:D1"/>
    <mergeCell ref="A14:D14"/>
    <mergeCell ref="B3:C3"/>
    <mergeCell ref="B4:C4"/>
    <mergeCell ref="B5:C5"/>
    <mergeCell ref="B6:C6"/>
    <mergeCell ref="B7:C7"/>
    <mergeCell ref="B8:C8"/>
    <mergeCell ref="F40:K40"/>
    <mergeCell ref="F62:H62"/>
    <mergeCell ref="A28:D28"/>
    <mergeCell ref="B2:C2"/>
    <mergeCell ref="F14:N14"/>
    <mergeCell ref="H15:I15"/>
    <mergeCell ref="J15:N15"/>
    <mergeCell ref="F15:G15"/>
    <mergeCell ref="F25:Q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Sandoval</dc:creator>
  <cp:lastModifiedBy>Sandoval Hernandez, Jose Ernesto</cp:lastModifiedBy>
  <dcterms:created xsi:type="dcterms:W3CDTF">2024-12-06T20:51:28Z</dcterms:created>
  <dcterms:modified xsi:type="dcterms:W3CDTF">2024-12-09T03:33:51Z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2024-12-06T22:28:24Z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23cc9ae1-ee5e-4e81-a325-a0efac96dd9f</vt:lpwstr>
  </property>
  <property fmtid="{D5CDD505-2E9C-101B-9397-08002B2CF9AE}" pid="8" name="MSIP_Label_4044bd30-2ed7-4c9d-9d12-46200872a97b_ContentBits">
    <vt:lpwstr>0</vt:lpwstr>
  </property>
</Properties>
</file>